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cuments\Google download item\"/>
    </mc:Choice>
  </mc:AlternateContent>
  <xr:revisionPtr revIDLastSave="0" documentId="13_ncr:1_{F7CBCD9F-15BA-46CD-98FC-18C8C979FDBD}" xr6:coauthVersionLast="47" xr6:coauthVersionMax="47" xr10:uidLastSave="{00000000-0000-0000-0000-000000000000}"/>
  <bookViews>
    <workbookView xWindow="-108" yWindow="-108" windowWidth="23256" windowHeight="12456" firstSheet="4" activeTab="5" xr2:uid="{00000000-000D-0000-FFFF-FFFF00000000}"/>
  </bookViews>
  <sheets>
    <sheet name="Tasks" sheetId="1" r:id="rId1"/>
    <sheet name="Employees" sheetId="2" r:id="rId2"/>
    <sheet name="Projects" sheetId="3" r:id="rId3"/>
    <sheet name="Employee Workload" sheetId="4" r:id="rId4"/>
    <sheet name="Project Performance" sheetId="5" r:id="rId5"/>
    <sheet name="Dashbo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6" l="1"/>
  <c r="L5" i="6"/>
  <c r="L4" i="6"/>
  <c r="L3" i="6"/>
  <c r="L2" i="6"/>
  <c r="F5" i="6"/>
  <c r="D5" i="6"/>
  <c r="B5" i="6"/>
</calcChain>
</file>

<file path=xl/sharedStrings.xml><?xml version="1.0" encoding="utf-8"?>
<sst xmlns="http://schemas.openxmlformats.org/spreadsheetml/2006/main" count="219" uniqueCount="94">
  <si>
    <t>task_id</t>
  </si>
  <si>
    <t>project_id</t>
  </si>
  <si>
    <t>task_name</t>
  </si>
  <si>
    <t>employee_id</t>
  </si>
  <si>
    <t>priority</t>
  </si>
  <si>
    <t>start_date</t>
  </si>
  <si>
    <t>due_date</t>
  </si>
  <si>
    <t>status</t>
  </si>
  <si>
    <t>UI Design</t>
  </si>
  <si>
    <t>High</t>
  </si>
  <si>
    <t>Completed</t>
  </si>
  <si>
    <t>Database Design</t>
  </si>
  <si>
    <t>API Development</t>
  </si>
  <si>
    <t>In Progress</t>
  </si>
  <si>
    <t>API Testing</t>
  </si>
  <si>
    <t>Medium</t>
  </si>
  <si>
    <t>Pending</t>
  </si>
  <si>
    <t>Payment Integration</t>
  </si>
  <si>
    <t>Delayed</t>
  </si>
  <si>
    <t>Requirement Analysis</t>
  </si>
  <si>
    <t>Database Development</t>
  </si>
  <si>
    <t>Backend Development</t>
  </si>
  <si>
    <t>Frontend Development</t>
  </si>
  <si>
    <t>System Testing</t>
  </si>
  <si>
    <t>UI Development</t>
  </si>
  <si>
    <t>Product Catalog</t>
  </si>
  <si>
    <t>Payment Gateway</t>
  </si>
  <si>
    <t>Order Management</t>
  </si>
  <si>
    <t>Final Testing</t>
  </si>
  <si>
    <t>Requirement Gathering</t>
  </si>
  <si>
    <t>Employee Database</t>
  </si>
  <si>
    <t>Attendance Module</t>
  </si>
  <si>
    <t>Leave Management</t>
  </si>
  <si>
    <t>Data Collection</t>
  </si>
  <si>
    <t>Data Cleaning</t>
  </si>
  <si>
    <t>KPI Development</t>
  </si>
  <si>
    <t>Dashboard Design</t>
  </si>
  <si>
    <t>Performance Analysis</t>
  </si>
  <si>
    <t>Payment API</t>
  </si>
  <si>
    <t>Security Testing</t>
  </si>
  <si>
    <t>Mobile Testing</t>
  </si>
  <si>
    <t>Final Deployment</t>
  </si>
  <si>
    <t>employee_name</t>
  </si>
  <si>
    <t>department</t>
  </si>
  <si>
    <t>role</t>
  </si>
  <si>
    <t>Rahul Sharma</t>
  </si>
  <si>
    <t>Development</t>
  </si>
  <si>
    <t>Developer</t>
  </si>
  <si>
    <t>Priya Mehta</t>
  </si>
  <si>
    <t>Testing</t>
  </si>
  <si>
    <t>QA Engineer</t>
  </si>
  <si>
    <t>Amit Patil</t>
  </si>
  <si>
    <t>Data</t>
  </si>
  <si>
    <t>Data Analyst</t>
  </si>
  <si>
    <t>Neha Singh</t>
  </si>
  <si>
    <t>Design</t>
  </si>
  <si>
    <t>UI/UX Designer</t>
  </si>
  <si>
    <t>Vikram Joshi</t>
  </si>
  <si>
    <t>Backend Developer</t>
  </si>
  <si>
    <t>Sneha Kulkarni</t>
  </si>
  <si>
    <t>Data Engineer</t>
  </si>
  <si>
    <t>Arjun Shah</t>
  </si>
  <si>
    <t>Pooja Desai</t>
  </si>
  <si>
    <t>Product</t>
  </si>
  <si>
    <t>Product Analyst</t>
  </si>
  <si>
    <t>project_name</t>
  </si>
  <si>
    <t>client</t>
  </si>
  <si>
    <t>deadline</t>
  </si>
  <si>
    <t>Banking App</t>
  </si>
  <si>
    <t>FinCorp</t>
  </si>
  <si>
    <t>CRM Platform</t>
  </si>
  <si>
    <t>SalesPro</t>
  </si>
  <si>
    <t>E-Commerce Portal</t>
  </si>
  <si>
    <t>ShopKart</t>
  </si>
  <si>
    <t>HR Management System</t>
  </si>
  <si>
    <t>PeopleFirst</t>
  </si>
  <si>
    <t>Analytics Dashboard</t>
  </si>
  <si>
    <t>DataCore</t>
  </si>
  <si>
    <t>Mobile Payment App</t>
  </si>
  <si>
    <t>PayWorld</t>
  </si>
  <si>
    <t>total_tasks</t>
  </si>
  <si>
    <t>completed_tasks</t>
  </si>
  <si>
    <t>delayed_tasks</t>
  </si>
  <si>
    <t>completion_rate</t>
  </si>
  <si>
    <t>PRODUCT OPERATIONS &amp; PERFORMANCE DASHBOARD</t>
  </si>
  <si>
    <t>TOTAL TASKS</t>
  </si>
  <si>
    <t>COMPLETED TASKS</t>
  </si>
  <si>
    <t>DELAYED TASKS</t>
  </si>
  <si>
    <t>COMPLETION RATE</t>
  </si>
  <si>
    <t>Status</t>
  </si>
  <si>
    <t>Task Count</t>
  </si>
  <si>
    <t>Complted</t>
  </si>
  <si>
    <t>Employee Name</t>
  </si>
  <si>
    <t>Total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</si>
</sst>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Task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Dashboard!$L$1</c:f>
              <c:strCache>
                <c:ptCount val="1"/>
                <c:pt idx="0">
                  <c:v>Task 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Dashboard!$K$2:$K$5</c:f>
              <c:strCache>
                <c:ptCount val="4"/>
                <c:pt idx="0">
                  <c:v>Complted</c:v>
                </c:pt>
                <c:pt idx="1">
                  <c:v>In Progress</c:v>
                </c:pt>
                <c:pt idx="2">
                  <c:v>Pending</c:v>
                </c:pt>
                <c:pt idx="3">
                  <c:v>Delayed</c:v>
                </c:pt>
              </c:strCache>
            </c:strRef>
          </c:cat>
          <c:val>
            <c:numRef>
              <c:f>Dashboard!$L$2:$L$5</c:f>
              <c:numCache>
                <c:formatCode>General</c:formatCode>
                <c:ptCount val="4"/>
                <c:pt idx="0">
                  <c:v>15</c:v>
                </c:pt>
                <c:pt idx="1">
                  <c:v>8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0-4A15-8926-FDC0590921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852559"/>
        <c:axId val="513753743"/>
      </c:barChart>
      <c:catAx>
        <c:axId val="1285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53743"/>
        <c:crosses val="autoZero"/>
        <c:auto val="1"/>
        <c:lblAlgn val="ctr"/>
        <c:lblOffset val="100"/>
        <c:noMultiLvlLbl val="0"/>
      </c:catAx>
      <c:valAx>
        <c:axId val="513753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2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Employee Workload</a:t>
            </a:r>
          </a:p>
        </c:rich>
      </c:tx>
      <c:layout>
        <c:manualLayout>
          <c:xMode val="edge"/>
          <c:yMode val="edge"/>
          <c:x val="0.40011460195057491"/>
          <c:y val="2.50409581897864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403667550919956E-2"/>
          <c:y val="0.1851584847321088"/>
          <c:w val="0.96533748641577999"/>
          <c:h val="0.699032507481331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Dashboard!$P$1</c:f>
              <c:strCache>
                <c:ptCount val="1"/>
                <c:pt idx="0">
                  <c:v>Total Tasks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Dashboard!$O$2:$O$9</c:f>
              <c:strCache>
                <c:ptCount val="8"/>
                <c:pt idx="0">
                  <c:v>Rahul Sharma</c:v>
                </c:pt>
                <c:pt idx="1">
                  <c:v>Vikram Joshi</c:v>
                </c:pt>
                <c:pt idx="2">
                  <c:v>Neha Singh</c:v>
                </c:pt>
                <c:pt idx="3">
                  <c:v>Amit Patil</c:v>
                </c:pt>
                <c:pt idx="4">
                  <c:v>Arjun Shah</c:v>
                </c:pt>
                <c:pt idx="5">
                  <c:v>Sneha Kulkarni</c:v>
                </c:pt>
                <c:pt idx="6">
                  <c:v>Pooja Desai</c:v>
                </c:pt>
                <c:pt idx="7">
                  <c:v>Priya Mehta</c:v>
                </c:pt>
              </c:strCache>
            </c:strRef>
          </c:cat>
          <c:val>
            <c:numRef>
              <c:f>Dashboard!$P$2:$P$9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2-428E-9F17-D52A4449B6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850703"/>
        <c:axId val="16656399"/>
      </c:barChart>
      <c:catAx>
        <c:axId val="1285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6399"/>
        <c:crosses val="autoZero"/>
        <c:auto val="1"/>
        <c:lblAlgn val="ctr"/>
        <c:lblOffset val="100"/>
        <c:noMultiLvlLbl val="0"/>
      </c:catAx>
      <c:valAx>
        <c:axId val="16656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Project Completion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540644492516659E-2"/>
          <c:y val="0.12920404900611698"/>
          <c:w val="0.88235509215235497"/>
          <c:h val="0.729868000538371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'Project Performance'!$G$1</c:f>
              <c:strCache>
                <c:ptCount val="1"/>
                <c:pt idx="0">
                  <c:v>completion_rate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'Project Performance'!$B$2:$B$7</c:f>
              <c:strCache>
                <c:ptCount val="6"/>
                <c:pt idx="0">
                  <c:v>E-Commerce Portal</c:v>
                </c:pt>
                <c:pt idx="1">
                  <c:v>Mobile Payment App</c:v>
                </c:pt>
                <c:pt idx="2">
                  <c:v>CRM Platform</c:v>
                </c:pt>
                <c:pt idx="3">
                  <c:v>Banking App</c:v>
                </c:pt>
                <c:pt idx="4">
                  <c:v>Analytics Dashboard</c:v>
                </c:pt>
                <c:pt idx="5">
                  <c:v>HR Management System</c:v>
                </c:pt>
              </c:strCache>
            </c:strRef>
          </c:cat>
          <c:val>
            <c:numRef>
              <c:f>'Project Performance'!$G$2:$G$7</c:f>
              <c:numCache>
                <c:formatCode>General</c:formatCode>
                <c:ptCount val="6"/>
                <c:pt idx="0">
                  <c:v>100</c:v>
                </c:pt>
                <c:pt idx="1">
                  <c:v>60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C-471C-9E43-49AC846C96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17992607"/>
        <c:axId val="530742031"/>
      </c:barChart>
      <c:catAx>
        <c:axId val="51799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742031"/>
        <c:crosses val="autoZero"/>
        <c:auto val="1"/>
        <c:lblAlgn val="ctr"/>
        <c:lblOffset val="100"/>
        <c:noMultiLvlLbl val="0"/>
      </c:catAx>
      <c:valAx>
        <c:axId val="530742031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9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86996</xdr:rowOff>
    </xdr:from>
    <xdr:to>
      <xdr:col>4</xdr:col>
      <xdr:colOff>556380</xdr:colOff>
      <xdr:row>19</xdr:row>
      <xdr:rowOff>48382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1D3E01-7AE4-767C-82D5-C2B2DFBF7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10206</xdr:colOff>
      <xdr:row>19</xdr:row>
      <xdr:rowOff>62527</xdr:rowOff>
    </xdr:from>
    <xdr:to>
      <xdr:col>8</xdr:col>
      <xdr:colOff>568476</xdr:colOff>
      <xdr:row>35</xdr:row>
      <xdr:rowOff>157239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79BF84-D43B-C326-E274-D36AC163E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581964</xdr:colOff>
      <xdr:row>5</xdr:row>
      <xdr:rowOff>82806</xdr:rowOff>
    </xdr:from>
    <xdr:to>
      <xdr:col>8</xdr:col>
      <xdr:colOff>568476</xdr:colOff>
      <xdr:row>19</xdr:row>
      <xdr:rowOff>48382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E0C42F-25B7-4486-B249-8D1C0C17B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>
        <v>201</v>
      </c>
      <c r="C2" t="s">
        <v>8</v>
      </c>
      <c r="D2">
        <v>104</v>
      </c>
      <c r="E2" t="s">
        <v>9</v>
      </c>
      <c r="F2" s="1">
        <v>46176</v>
      </c>
      <c r="G2" s="1">
        <v>46188</v>
      </c>
      <c r="H2" t="s">
        <v>10</v>
      </c>
    </row>
    <row r="3" spans="1:8" x14ac:dyDescent="0.3">
      <c r="A3">
        <v>1002</v>
      </c>
      <c r="B3">
        <v>201</v>
      </c>
      <c r="C3" t="s">
        <v>11</v>
      </c>
      <c r="D3">
        <v>103</v>
      </c>
      <c r="E3" t="s">
        <v>9</v>
      </c>
      <c r="F3" s="1">
        <v>46178</v>
      </c>
      <c r="G3" s="1">
        <v>46193</v>
      </c>
      <c r="H3" t="s">
        <v>10</v>
      </c>
    </row>
    <row r="4" spans="1:8" x14ac:dyDescent="0.3">
      <c r="A4">
        <v>1003</v>
      </c>
      <c r="B4">
        <v>201</v>
      </c>
      <c r="C4" t="s">
        <v>12</v>
      </c>
      <c r="D4">
        <v>101</v>
      </c>
      <c r="E4" t="s">
        <v>9</v>
      </c>
      <c r="F4" s="1">
        <v>46188</v>
      </c>
      <c r="G4" s="1">
        <v>46213</v>
      </c>
      <c r="H4" t="s">
        <v>13</v>
      </c>
    </row>
    <row r="5" spans="1:8" x14ac:dyDescent="0.3">
      <c r="A5">
        <v>1004</v>
      </c>
      <c r="B5">
        <v>201</v>
      </c>
      <c r="C5" t="s">
        <v>14</v>
      </c>
      <c r="D5">
        <v>102</v>
      </c>
      <c r="E5" t="s">
        <v>15</v>
      </c>
      <c r="F5" s="1">
        <v>46213</v>
      </c>
      <c r="G5" s="1">
        <v>46223</v>
      </c>
      <c r="H5" t="s">
        <v>16</v>
      </c>
    </row>
    <row r="6" spans="1:8" x14ac:dyDescent="0.3">
      <c r="A6">
        <v>1005</v>
      </c>
      <c r="B6">
        <v>201</v>
      </c>
      <c r="C6" t="s">
        <v>17</v>
      </c>
      <c r="D6">
        <v>105</v>
      </c>
      <c r="E6" t="s">
        <v>9</v>
      </c>
      <c r="F6" s="1">
        <v>46218</v>
      </c>
      <c r="G6" s="1">
        <v>46239</v>
      </c>
      <c r="H6" t="s">
        <v>18</v>
      </c>
    </row>
    <row r="7" spans="1:8" x14ac:dyDescent="0.3">
      <c r="A7">
        <v>1006</v>
      </c>
      <c r="B7">
        <v>202</v>
      </c>
      <c r="C7" t="s">
        <v>19</v>
      </c>
      <c r="D7">
        <v>108</v>
      </c>
      <c r="E7" t="s">
        <v>9</v>
      </c>
      <c r="F7" s="1">
        <v>46158</v>
      </c>
      <c r="G7" s="1">
        <v>46167</v>
      </c>
      <c r="H7" t="s">
        <v>10</v>
      </c>
    </row>
    <row r="8" spans="1:8" x14ac:dyDescent="0.3">
      <c r="A8">
        <v>1007</v>
      </c>
      <c r="B8">
        <v>202</v>
      </c>
      <c r="C8" t="s">
        <v>20</v>
      </c>
      <c r="D8">
        <v>106</v>
      </c>
      <c r="E8" t="s">
        <v>9</v>
      </c>
      <c r="F8" s="1">
        <v>46168</v>
      </c>
      <c r="G8" s="1">
        <v>46188</v>
      </c>
      <c r="H8" t="s">
        <v>10</v>
      </c>
    </row>
    <row r="9" spans="1:8" x14ac:dyDescent="0.3">
      <c r="A9">
        <v>1008</v>
      </c>
      <c r="B9">
        <v>202</v>
      </c>
      <c r="C9" t="s">
        <v>21</v>
      </c>
      <c r="D9">
        <v>105</v>
      </c>
      <c r="E9" t="s">
        <v>9</v>
      </c>
      <c r="F9" s="1">
        <v>46183</v>
      </c>
      <c r="G9" s="1">
        <v>46218</v>
      </c>
      <c r="H9" t="s">
        <v>13</v>
      </c>
    </row>
    <row r="10" spans="1:8" x14ac:dyDescent="0.3">
      <c r="A10">
        <v>1009</v>
      </c>
      <c r="B10">
        <v>202</v>
      </c>
      <c r="C10" t="s">
        <v>22</v>
      </c>
      <c r="D10">
        <v>101</v>
      </c>
      <c r="E10" t="s">
        <v>15</v>
      </c>
      <c r="F10" s="1">
        <v>46193</v>
      </c>
      <c r="G10" s="1">
        <v>46228</v>
      </c>
      <c r="H10" t="s">
        <v>13</v>
      </c>
    </row>
    <row r="11" spans="1:8" x14ac:dyDescent="0.3">
      <c r="A11">
        <v>1010</v>
      </c>
      <c r="B11">
        <v>202</v>
      </c>
      <c r="C11" t="s">
        <v>23</v>
      </c>
      <c r="D11">
        <v>107</v>
      </c>
      <c r="E11" t="s">
        <v>9</v>
      </c>
      <c r="F11" s="1">
        <v>46223</v>
      </c>
      <c r="G11" s="1">
        <v>46239</v>
      </c>
      <c r="H11" t="s">
        <v>18</v>
      </c>
    </row>
    <row r="12" spans="1:8" x14ac:dyDescent="0.3">
      <c r="A12">
        <v>1011</v>
      </c>
      <c r="B12">
        <v>203</v>
      </c>
      <c r="C12" t="s">
        <v>24</v>
      </c>
      <c r="D12">
        <v>104</v>
      </c>
      <c r="E12" t="s">
        <v>15</v>
      </c>
      <c r="F12" s="1">
        <v>46124</v>
      </c>
      <c r="G12" s="1">
        <v>46152</v>
      </c>
      <c r="H12" t="s">
        <v>10</v>
      </c>
    </row>
    <row r="13" spans="1:8" x14ac:dyDescent="0.3">
      <c r="A13">
        <v>1012</v>
      </c>
      <c r="B13">
        <v>203</v>
      </c>
      <c r="C13" t="s">
        <v>25</v>
      </c>
      <c r="D13">
        <v>108</v>
      </c>
      <c r="E13" t="s">
        <v>9</v>
      </c>
      <c r="F13" s="1">
        <v>46132</v>
      </c>
      <c r="G13" s="1">
        <v>46162</v>
      </c>
      <c r="H13" t="s">
        <v>10</v>
      </c>
    </row>
    <row r="14" spans="1:8" x14ac:dyDescent="0.3">
      <c r="A14">
        <v>1013</v>
      </c>
      <c r="B14">
        <v>203</v>
      </c>
      <c r="C14" t="s">
        <v>26</v>
      </c>
      <c r="D14">
        <v>105</v>
      </c>
      <c r="E14" t="s">
        <v>9</v>
      </c>
      <c r="F14" s="1">
        <v>46143</v>
      </c>
      <c r="G14" s="1">
        <v>46174</v>
      </c>
      <c r="H14" t="s">
        <v>10</v>
      </c>
    </row>
    <row r="15" spans="1:8" x14ac:dyDescent="0.3">
      <c r="A15">
        <v>1014</v>
      </c>
      <c r="B15">
        <v>203</v>
      </c>
      <c r="C15" t="s">
        <v>27</v>
      </c>
      <c r="D15">
        <v>101</v>
      </c>
      <c r="E15" t="s">
        <v>15</v>
      </c>
      <c r="F15" s="1">
        <v>46157</v>
      </c>
      <c r="G15" s="1">
        <v>46188</v>
      </c>
      <c r="H15" t="s">
        <v>10</v>
      </c>
    </row>
    <row r="16" spans="1:8" x14ac:dyDescent="0.3">
      <c r="A16">
        <v>1015</v>
      </c>
      <c r="B16">
        <v>203</v>
      </c>
      <c r="C16" t="s">
        <v>28</v>
      </c>
      <c r="D16">
        <v>107</v>
      </c>
      <c r="E16" t="s">
        <v>9</v>
      </c>
      <c r="F16" s="1">
        <v>46188</v>
      </c>
      <c r="G16" s="1">
        <v>46213</v>
      </c>
      <c r="H16" t="s">
        <v>10</v>
      </c>
    </row>
    <row r="17" spans="1:8" x14ac:dyDescent="0.3">
      <c r="A17">
        <v>1016</v>
      </c>
      <c r="B17">
        <v>204</v>
      </c>
      <c r="C17" t="s">
        <v>29</v>
      </c>
      <c r="D17">
        <v>108</v>
      </c>
      <c r="E17" t="s">
        <v>9</v>
      </c>
      <c r="F17" s="1">
        <v>46194</v>
      </c>
      <c r="G17" s="1">
        <v>46208</v>
      </c>
      <c r="H17" t="s">
        <v>10</v>
      </c>
    </row>
    <row r="18" spans="1:8" x14ac:dyDescent="0.3">
      <c r="A18">
        <v>1017</v>
      </c>
      <c r="B18">
        <v>204</v>
      </c>
      <c r="C18" t="s">
        <v>30</v>
      </c>
      <c r="D18">
        <v>103</v>
      </c>
      <c r="E18" t="s">
        <v>9</v>
      </c>
      <c r="F18" s="1">
        <v>46204</v>
      </c>
      <c r="G18" s="1">
        <v>46228</v>
      </c>
      <c r="H18" t="s">
        <v>13</v>
      </c>
    </row>
    <row r="19" spans="1:8" x14ac:dyDescent="0.3">
      <c r="A19">
        <v>1018</v>
      </c>
      <c r="B19">
        <v>204</v>
      </c>
      <c r="C19" t="s">
        <v>31</v>
      </c>
      <c r="D19">
        <v>101</v>
      </c>
      <c r="E19" t="s">
        <v>15</v>
      </c>
      <c r="F19" s="1">
        <v>46213</v>
      </c>
      <c r="G19" s="1">
        <v>46239</v>
      </c>
      <c r="H19" t="s">
        <v>13</v>
      </c>
    </row>
    <row r="20" spans="1:8" x14ac:dyDescent="0.3">
      <c r="A20">
        <v>1019</v>
      </c>
      <c r="B20">
        <v>204</v>
      </c>
      <c r="C20" t="s">
        <v>32</v>
      </c>
      <c r="D20">
        <v>105</v>
      </c>
      <c r="E20" t="s">
        <v>15</v>
      </c>
      <c r="F20" s="1">
        <v>46218</v>
      </c>
      <c r="G20" s="1">
        <v>46249</v>
      </c>
      <c r="H20" t="s">
        <v>16</v>
      </c>
    </row>
    <row r="21" spans="1:8" x14ac:dyDescent="0.3">
      <c r="A21">
        <v>1020</v>
      </c>
      <c r="B21">
        <v>204</v>
      </c>
      <c r="C21" t="s">
        <v>23</v>
      </c>
      <c r="D21">
        <v>107</v>
      </c>
      <c r="E21" t="s">
        <v>9</v>
      </c>
      <c r="F21" s="1">
        <v>46235</v>
      </c>
      <c r="G21" s="1">
        <v>46259</v>
      </c>
      <c r="H21" t="s">
        <v>16</v>
      </c>
    </row>
    <row r="22" spans="1:8" x14ac:dyDescent="0.3">
      <c r="A22">
        <v>1021</v>
      </c>
      <c r="B22">
        <v>205</v>
      </c>
      <c r="C22" t="s">
        <v>33</v>
      </c>
      <c r="D22">
        <v>106</v>
      </c>
      <c r="E22" t="s">
        <v>9</v>
      </c>
      <c r="F22" s="1">
        <v>46205</v>
      </c>
      <c r="G22" s="1">
        <v>46218</v>
      </c>
      <c r="H22" t="s">
        <v>10</v>
      </c>
    </row>
    <row r="23" spans="1:8" x14ac:dyDescent="0.3">
      <c r="A23">
        <v>1022</v>
      </c>
      <c r="B23">
        <v>205</v>
      </c>
      <c r="C23" t="s">
        <v>34</v>
      </c>
      <c r="D23">
        <v>103</v>
      </c>
      <c r="E23" t="s">
        <v>9</v>
      </c>
      <c r="F23" s="1">
        <v>46213</v>
      </c>
      <c r="G23" s="1">
        <v>46228</v>
      </c>
      <c r="H23" t="s">
        <v>10</v>
      </c>
    </row>
    <row r="24" spans="1:8" x14ac:dyDescent="0.3">
      <c r="A24">
        <v>1023</v>
      </c>
      <c r="B24">
        <v>205</v>
      </c>
      <c r="C24" t="s">
        <v>35</v>
      </c>
      <c r="D24">
        <v>106</v>
      </c>
      <c r="E24" t="s">
        <v>9</v>
      </c>
      <c r="F24" s="1">
        <v>46223</v>
      </c>
      <c r="G24" s="1">
        <v>46244</v>
      </c>
      <c r="H24" t="s">
        <v>13</v>
      </c>
    </row>
    <row r="25" spans="1:8" x14ac:dyDescent="0.3">
      <c r="A25">
        <v>1024</v>
      </c>
      <c r="B25">
        <v>205</v>
      </c>
      <c r="C25" t="s">
        <v>36</v>
      </c>
      <c r="D25">
        <v>104</v>
      </c>
      <c r="E25" t="s">
        <v>15</v>
      </c>
      <c r="F25" s="1">
        <v>46228</v>
      </c>
      <c r="G25" s="1">
        <v>46249</v>
      </c>
      <c r="H25" t="s">
        <v>13</v>
      </c>
    </row>
    <row r="26" spans="1:8" x14ac:dyDescent="0.3">
      <c r="A26">
        <v>1025</v>
      </c>
      <c r="B26">
        <v>205</v>
      </c>
      <c r="C26" t="s">
        <v>37</v>
      </c>
      <c r="D26">
        <v>103</v>
      </c>
      <c r="E26" t="s">
        <v>9</v>
      </c>
      <c r="F26" s="1">
        <v>46235</v>
      </c>
      <c r="G26" s="1">
        <v>46254</v>
      </c>
      <c r="H26" t="s">
        <v>16</v>
      </c>
    </row>
    <row r="27" spans="1:8" x14ac:dyDescent="0.3">
      <c r="A27">
        <v>1026</v>
      </c>
      <c r="B27">
        <v>206</v>
      </c>
      <c r="C27" t="s">
        <v>8</v>
      </c>
      <c r="D27">
        <v>104</v>
      </c>
      <c r="E27" t="s">
        <v>15</v>
      </c>
      <c r="F27" s="1">
        <v>46168</v>
      </c>
      <c r="G27" s="1">
        <v>46183</v>
      </c>
      <c r="H27" t="s">
        <v>10</v>
      </c>
    </row>
    <row r="28" spans="1:8" x14ac:dyDescent="0.3">
      <c r="A28">
        <v>1027</v>
      </c>
      <c r="B28">
        <v>206</v>
      </c>
      <c r="C28" t="s">
        <v>38</v>
      </c>
      <c r="D28">
        <v>105</v>
      </c>
      <c r="E28" t="s">
        <v>9</v>
      </c>
      <c r="F28" s="1">
        <v>46178</v>
      </c>
      <c r="G28" s="1">
        <v>46198</v>
      </c>
      <c r="H28" t="s">
        <v>10</v>
      </c>
    </row>
    <row r="29" spans="1:8" x14ac:dyDescent="0.3">
      <c r="A29">
        <v>1028</v>
      </c>
      <c r="B29">
        <v>206</v>
      </c>
      <c r="C29" t="s">
        <v>39</v>
      </c>
      <c r="D29">
        <v>107</v>
      </c>
      <c r="E29" t="s">
        <v>9</v>
      </c>
      <c r="F29" s="1">
        <v>46193</v>
      </c>
      <c r="G29" s="1">
        <v>46218</v>
      </c>
      <c r="H29" t="s">
        <v>10</v>
      </c>
    </row>
    <row r="30" spans="1:8" x14ac:dyDescent="0.3">
      <c r="A30">
        <v>1029</v>
      </c>
      <c r="B30">
        <v>206</v>
      </c>
      <c r="C30" t="s">
        <v>40</v>
      </c>
      <c r="D30">
        <v>102</v>
      </c>
      <c r="E30" t="s">
        <v>15</v>
      </c>
      <c r="F30" s="1">
        <v>46213</v>
      </c>
      <c r="G30" s="1">
        <v>46235</v>
      </c>
      <c r="H30" t="s">
        <v>18</v>
      </c>
    </row>
    <row r="31" spans="1:8" x14ac:dyDescent="0.3">
      <c r="A31">
        <v>1030</v>
      </c>
      <c r="B31">
        <v>206</v>
      </c>
      <c r="C31" t="s">
        <v>41</v>
      </c>
      <c r="D31">
        <v>101</v>
      </c>
      <c r="E31" t="s">
        <v>9</v>
      </c>
      <c r="F31" s="1">
        <v>46235</v>
      </c>
      <c r="G31" s="1">
        <v>46254</v>
      </c>
      <c r="H3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4" x14ac:dyDescent="0.3"/>
  <sheetData>
    <row r="1" spans="1:4" x14ac:dyDescent="0.3">
      <c r="A1" t="s">
        <v>3</v>
      </c>
      <c r="B1" t="s">
        <v>42</v>
      </c>
      <c r="C1" t="s">
        <v>43</v>
      </c>
      <c r="D1" t="s">
        <v>44</v>
      </c>
    </row>
    <row r="2" spans="1:4" x14ac:dyDescent="0.3">
      <c r="A2">
        <v>101</v>
      </c>
      <c r="B2" t="s">
        <v>45</v>
      </c>
      <c r="C2" t="s">
        <v>46</v>
      </c>
      <c r="D2" t="s">
        <v>47</v>
      </c>
    </row>
    <row r="3" spans="1:4" x14ac:dyDescent="0.3">
      <c r="A3">
        <v>102</v>
      </c>
      <c r="B3" t="s">
        <v>48</v>
      </c>
      <c r="C3" t="s">
        <v>49</v>
      </c>
      <c r="D3" t="s">
        <v>50</v>
      </c>
    </row>
    <row r="4" spans="1:4" x14ac:dyDescent="0.3">
      <c r="A4">
        <v>103</v>
      </c>
      <c r="B4" t="s">
        <v>51</v>
      </c>
      <c r="C4" t="s">
        <v>52</v>
      </c>
      <c r="D4" t="s">
        <v>53</v>
      </c>
    </row>
    <row r="5" spans="1:4" x14ac:dyDescent="0.3">
      <c r="A5">
        <v>104</v>
      </c>
      <c r="B5" t="s">
        <v>54</v>
      </c>
      <c r="C5" t="s">
        <v>55</v>
      </c>
      <c r="D5" t="s">
        <v>56</v>
      </c>
    </row>
    <row r="6" spans="1:4" x14ac:dyDescent="0.3">
      <c r="A6">
        <v>105</v>
      </c>
      <c r="B6" t="s">
        <v>57</v>
      </c>
      <c r="C6" t="s">
        <v>46</v>
      </c>
      <c r="D6" t="s">
        <v>58</v>
      </c>
    </row>
    <row r="7" spans="1:4" x14ac:dyDescent="0.3">
      <c r="A7">
        <v>106</v>
      </c>
      <c r="B7" t="s">
        <v>59</v>
      </c>
      <c r="C7" t="s">
        <v>52</v>
      </c>
      <c r="D7" t="s">
        <v>60</v>
      </c>
    </row>
    <row r="8" spans="1:4" x14ac:dyDescent="0.3">
      <c r="A8">
        <v>107</v>
      </c>
      <c r="B8" t="s">
        <v>61</v>
      </c>
      <c r="C8" t="s">
        <v>49</v>
      </c>
      <c r="D8" t="s">
        <v>50</v>
      </c>
    </row>
    <row r="9" spans="1:4" x14ac:dyDescent="0.3">
      <c r="A9">
        <v>108</v>
      </c>
      <c r="B9" t="s">
        <v>62</v>
      </c>
      <c r="C9" t="s">
        <v>63</v>
      </c>
      <c r="D9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defaultRowHeight="14.4" x14ac:dyDescent="0.3"/>
  <sheetData>
    <row r="1" spans="1:6" x14ac:dyDescent="0.3">
      <c r="A1" t="s">
        <v>1</v>
      </c>
      <c r="B1" t="s">
        <v>65</v>
      </c>
      <c r="C1" t="s">
        <v>66</v>
      </c>
      <c r="D1" t="s">
        <v>5</v>
      </c>
      <c r="E1" t="s">
        <v>67</v>
      </c>
      <c r="F1" t="s">
        <v>7</v>
      </c>
    </row>
    <row r="2" spans="1:6" x14ac:dyDescent="0.3">
      <c r="A2">
        <v>201</v>
      </c>
      <c r="B2" t="s">
        <v>68</v>
      </c>
      <c r="C2" t="s">
        <v>69</v>
      </c>
      <c r="D2" s="2">
        <v>46174</v>
      </c>
      <c r="E2" s="2">
        <v>46295</v>
      </c>
      <c r="F2" t="s">
        <v>13</v>
      </c>
    </row>
    <row r="3" spans="1:6" x14ac:dyDescent="0.3">
      <c r="A3">
        <v>202</v>
      </c>
      <c r="B3" t="s">
        <v>70</v>
      </c>
      <c r="C3" t="s">
        <v>71</v>
      </c>
      <c r="D3" s="2">
        <v>46157</v>
      </c>
      <c r="E3" s="2">
        <v>46265</v>
      </c>
      <c r="F3" t="s">
        <v>13</v>
      </c>
    </row>
    <row r="4" spans="1:6" x14ac:dyDescent="0.3">
      <c r="A4">
        <v>203</v>
      </c>
      <c r="B4" t="s">
        <v>72</v>
      </c>
      <c r="C4" t="s">
        <v>73</v>
      </c>
      <c r="D4" s="2">
        <v>46122</v>
      </c>
      <c r="E4" s="2">
        <v>46234</v>
      </c>
      <c r="F4" t="s">
        <v>10</v>
      </c>
    </row>
    <row r="5" spans="1:6" x14ac:dyDescent="0.3">
      <c r="A5">
        <v>204</v>
      </c>
      <c r="B5" t="s">
        <v>74</v>
      </c>
      <c r="C5" t="s">
        <v>75</v>
      </c>
      <c r="D5" s="2">
        <v>46193</v>
      </c>
      <c r="E5" s="2">
        <v>46310</v>
      </c>
      <c r="F5" t="s">
        <v>13</v>
      </c>
    </row>
    <row r="6" spans="1:6" x14ac:dyDescent="0.3">
      <c r="A6">
        <v>205</v>
      </c>
      <c r="B6" t="s">
        <v>76</v>
      </c>
      <c r="C6" t="s">
        <v>77</v>
      </c>
      <c r="D6" s="2">
        <v>46204</v>
      </c>
      <c r="E6" s="2">
        <v>46280</v>
      </c>
      <c r="F6" t="s">
        <v>13</v>
      </c>
    </row>
    <row r="7" spans="1:6" x14ac:dyDescent="0.3">
      <c r="A7">
        <v>206</v>
      </c>
      <c r="B7" t="s">
        <v>78</v>
      </c>
      <c r="C7" t="s">
        <v>79</v>
      </c>
      <c r="D7" s="2">
        <v>46167</v>
      </c>
      <c r="E7" s="2">
        <v>46254</v>
      </c>
      <c r="F7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selection activeCell="B1" sqref="B1:C9"/>
    </sheetView>
  </sheetViews>
  <sheetFormatPr defaultRowHeight="14.4" x14ac:dyDescent="0.3"/>
  <cols>
    <col min="1" max="1" width="11.44140625" bestFit="1" customWidth="1"/>
    <col min="2" max="2" width="10" bestFit="1" customWidth="1"/>
    <col min="3" max="3" width="14.6640625" bestFit="1" customWidth="1"/>
    <col min="4" max="4" width="11.88671875" bestFit="1" customWidth="1"/>
    <col min="5" max="5" width="16.77734375" bestFit="1" customWidth="1"/>
  </cols>
  <sheetData>
    <row r="1" spans="1:5" x14ac:dyDescent="0.3">
      <c r="A1" t="s">
        <v>3</v>
      </c>
      <c r="B1" t="s">
        <v>80</v>
      </c>
      <c r="C1" t="s">
        <v>42</v>
      </c>
      <c r="D1" t="s">
        <v>43</v>
      </c>
      <c r="E1" t="s">
        <v>44</v>
      </c>
    </row>
    <row r="2" spans="1:5" x14ac:dyDescent="0.3">
      <c r="A2">
        <v>101</v>
      </c>
      <c r="B2">
        <v>5</v>
      </c>
      <c r="C2" t="s">
        <v>45</v>
      </c>
      <c r="D2" t="s">
        <v>46</v>
      </c>
      <c r="E2" t="s">
        <v>47</v>
      </c>
    </row>
    <row r="3" spans="1:5" x14ac:dyDescent="0.3">
      <c r="A3">
        <v>105</v>
      </c>
      <c r="B3">
        <v>5</v>
      </c>
      <c r="C3" t="s">
        <v>57</v>
      </c>
      <c r="D3" t="s">
        <v>46</v>
      </c>
      <c r="E3" t="s">
        <v>58</v>
      </c>
    </row>
    <row r="4" spans="1:5" x14ac:dyDescent="0.3">
      <c r="A4">
        <v>104</v>
      </c>
      <c r="B4">
        <v>4</v>
      </c>
      <c r="C4" t="s">
        <v>54</v>
      </c>
      <c r="D4" t="s">
        <v>55</v>
      </c>
      <c r="E4" t="s">
        <v>56</v>
      </c>
    </row>
    <row r="5" spans="1:5" x14ac:dyDescent="0.3">
      <c r="A5">
        <v>103</v>
      </c>
      <c r="B5">
        <v>4</v>
      </c>
      <c r="C5" t="s">
        <v>51</v>
      </c>
      <c r="D5" t="s">
        <v>52</v>
      </c>
      <c r="E5" t="s">
        <v>53</v>
      </c>
    </row>
    <row r="6" spans="1:5" x14ac:dyDescent="0.3">
      <c r="A6">
        <v>107</v>
      </c>
      <c r="B6">
        <v>4</v>
      </c>
      <c r="C6" t="s">
        <v>61</v>
      </c>
      <c r="D6" t="s">
        <v>49</v>
      </c>
      <c r="E6" t="s">
        <v>50</v>
      </c>
    </row>
    <row r="7" spans="1:5" x14ac:dyDescent="0.3">
      <c r="A7">
        <v>106</v>
      </c>
      <c r="B7">
        <v>3</v>
      </c>
      <c r="C7" t="s">
        <v>59</v>
      </c>
      <c r="D7" t="s">
        <v>52</v>
      </c>
      <c r="E7" t="s">
        <v>60</v>
      </c>
    </row>
    <row r="8" spans="1:5" x14ac:dyDescent="0.3">
      <c r="A8">
        <v>108</v>
      </c>
      <c r="B8">
        <v>3</v>
      </c>
      <c r="C8" t="s">
        <v>62</v>
      </c>
      <c r="D8" t="s">
        <v>63</v>
      </c>
      <c r="E8" t="s">
        <v>64</v>
      </c>
    </row>
    <row r="9" spans="1:5" x14ac:dyDescent="0.3">
      <c r="A9">
        <v>102</v>
      </c>
      <c r="B9">
        <v>2</v>
      </c>
      <c r="C9" t="s">
        <v>48</v>
      </c>
      <c r="D9" t="s">
        <v>49</v>
      </c>
      <c r="E9" t="s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selection activeCell="G1" activeCellId="1" sqref="B1:B7 G1:G7"/>
    </sheetView>
  </sheetViews>
  <sheetFormatPr defaultRowHeight="14.4" x14ac:dyDescent="0.3"/>
  <sheetData>
    <row r="1" spans="1:7" x14ac:dyDescent="0.3">
      <c r="A1" t="s">
        <v>1</v>
      </c>
      <c r="B1" t="s">
        <v>65</v>
      </c>
      <c r="C1" t="s">
        <v>66</v>
      </c>
      <c r="D1" t="s">
        <v>80</v>
      </c>
      <c r="E1" t="s">
        <v>81</v>
      </c>
      <c r="F1" t="s">
        <v>82</v>
      </c>
      <c r="G1" t="s">
        <v>83</v>
      </c>
    </row>
    <row r="2" spans="1:7" x14ac:dyDescent="0.3">
      <c r="A2">
        <v>203</v>
      </c>
      <c r="B2" t="s">
        <v>72</v>
      </c>
      <c r="C2" t="s">
        <v>73</v>
      </c>
      <c r="D2">
        <v>5</v>
      </c>
      <c r="E2">
        <v>5</v>
      </c>
      <c r="F2">
        <v>0</v>
      </c>
      <c r="G2">
        <v>100</v>
      </c>
    </row>
    <row r="3" spans="1:7" x14ac:dyDescent="0.3">
      <c r="A3">
        <v>206</v>
      </c>
      <c r="B3" t="s">
        <v>78</v>
      </c>
      <c r="C3" t="s">
        <v>79</v>
      </c>
      <c r="D3">
        <v>5</v>
      </c>
      <c r="E3">
        <v>3</v>
      </c>
      <c r="F3">
        <v>1</v>
      </c>
      <c r="G3">
        <v>60</v>
      </c>
    </row>
    <row r="4" spans="1:7" x14ac:dyDescent="0.3">
      <c r="A4">
        <v>202</v>
      </c>
      <c r="B4" t="s">
        <v>70</v>
      </c>
      <c r="C4" t="s">
        <v>71</v>
      </c>
      <c r="D4">
        <v>5</v>
      </c>
      <c r="E4">
        <v>2</v>
      </c>
      <c r="F4">
        <v>1</v>
      </c>
      <c r="G4">
        <v>40</v>
      </c>
    </row>
    <row r="5" spans="1:7" x14ac:dyDescent="0.3">
      <c r="A5">
        <v>201</v>
      </c>
      <c r="B5" t="s">
        <v>68</v>
      </c>
      <c r="C5" t="s">
        <v>69</v>
      </c>
      <c r="D5">
        <v>5</v>
      </c>
      <c r="E5">
        <v>2</v>
      </c>
      <c r="F5">
        <v>1</v>
      </c>
      <c r="G5">
        <v>40</v>
      </c>
    </row>
    <row r="6" spans="1:7" x14ac:dyDescent="0.3">
      <c r="A6">
        <v>205</v>
      </c>
      <c r="B6" t="s">
        <v>76</v>
      </c>
      <c r="C6" t="s">
        <v>77</v>
      </c>
      <c r="D6">
        <v>5</v>
      </c>
      <c r="E6">
        <v>2</v>
      </c>
      <c r="F6">
        <v>0</v>
      </c>
      <c r="G6">
        <v>40</v>
      </c>
    </row>
    <row r="7" spans="1:7" x14ac:dyDescent="0.3">
      <c r="A7">
        <v>204</v>
      </c>
      <c r="B7" t="s">
        <v>74</v>
      </c>
      <c r="C7" t="s">
        <v>75</v>
      </c>
      <c r="D7">
        <v>5</v>
      </c>
      <c r="E7">
        <v>1</v>
      </c>
      <c r="F7">
        <v>0</v>
      </c>
      <c r="G7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6B26-5336-482D-B1D1-3602E3A4317A}">
  <dimension ref="A1:P15"/>
  <sheetViews>
    <sheetView showGridLines="0" tabSelected="1" zoomScale="63" zoomScaleNormal="70" workbookViewId="0">
      <selection activeCell="J1" sqref="J1"/>
    </sheetView>
  </sheetViews>
  <sheetFormatPr defaultRowHeight="14.4" x14ac:dyDescent="0.3"/>
  <cols>
    <col min="1" max="1" width="7.21875" customWidth="1"/>
    <col min="2" max="2" width="24.88671875" customWidth="1"/>
    <col min="3" max="3" width="16.6640625" customWidth="1"/>
    <col min="4" max="4" width="24.88671875" customWidth="1"/>
    <col min="5" max="5" width="16.77734375" customWidth="1"/>
    <col min="6" max="6" width="24.88671875" customWidth="1"/>
    <col min="7" max="7" width="17" customWidth="1"/>
    <col min="8" max="8" width="24.77734375" customWidth="1"/>
    <col min="10" max="10" width="8.88671875" customWidth="1"/>
  </cols>
  <sheetData>
    <row r="1" spans="1:16" ht="14.4" customHeight="1" x14ac:dyDescent="0.3">
      <c r="A1" s="12" t="s">
        <v>84</v>
      </c>
      <c r="B1" s="12"/>
      <c r="C1" s="12"/>
      <c r="D1" s="12"/>
      <c r="E1" s="12"/>
      <c r="F1" s="12"/>
      <c r="G1" s="12"/>
      <c r="H1" s="12"/>
      <c r="K1" t="s">
        <v>89</v>
      </c>
      <c r="L1" t="s">
        <v>90</v>
      </c>
      <c r="O1" s="8" t="s">
        <v>92</v>
      </c>
      <c r="P1" s="6" t="s">
        <v>93</v>
      </c>
    </row>
    <row r="2" spans="1:16" ht="14.4" customHeight="1" x14ac:dyDescent="0.3">
      <c r="A2" s="12"/>
      <c r="B2" s="12"/>
      <c r="C2" s="12"/>
      <c r="D2" s="12"/>
      <c r="E2" s="12"/>
      <c r="F2" s="12"/>
      <c r="G2" s="12"/>
      <c r="H2" s="12"/>
      <c r="K2" t="s">
        <v>91</v>
      </c>
      <c r="L2">
        <f>COUNTIF(Tasks!$H$2:$H$31,"Completed")</f>
        <v>15</v>
      </c>
      <c r="O2" s="7" t="s">
        <v>45</v>
      </c>
      <c r="P2" s="5">
        <v>5</v>
      </c>
    </row>
    <row r="3" spans="1:16" ht="14.4" customHeight="1" x14ac:dyDescent="0.4">
      <c r="A3" s="3"/>
      <c r="B3" s="3"/>
      <c r="C3" s="3"/>
      <c r="D3" s="3"/>
      <c r="E3" s="3"/>
      <c r="F3" s="3"/>
      <c r="G3" s="3"/>
      <c r="H3" s="3"/>
      <c r="K3" t="s">
        <v>13</v>
      </c>
      <c r="L3">
        <f>COUNTIF(Tasks!$H$2:$H$31,"In Progress")</f>
        <v>8</v>
      </c>
      <c r="O3" s="7" t="s">
        <v>57</v>
      </c>
      <c r="P3" s="5">
        <v>5</v>
      </c>
    </row>
    <row r="4" spans="1:16" ht="28.8" x14ac:dyDescent="0.3">
      <c r="B4" s="9" t="s">
        <v>85</v>
      </c>
      <c r="D4" s="9" t="s">
        <v>86</v>
      </c>
      <c r="F4" s="9" t="s">
        <v>87</v>
      </c>
      <c r="H4" s="9" t="s">
        <v>88</v>
      </c>
      <c r="K4" t="s">
        <v>16</v>
      </c>
      <c r="L4">
        <f>COUNTIF(Tasks!$H$2:$H$31,"Pending")</f>
        <v>4</v>
      </c>
      <c r="O4" s="7" t="s">
        <v>54</v>
      </c>
      <c r="P4" s="5">
        <v>4</v>
      </c>
    </row>
    <row r="5" spans="1:16" ht="23.4" x14ac:dyDescent="0.3">
      <c r="B5" s="10">
        <f>COUNTA(Tasks!A2:A31)</f>
        <v>30</v>
      </c>
      <c r="D5" s="10">
        <f>COUNTIF(Tasks!H2:H31,"Completed")</f>
        <v>15</v>
      </c>
      <c r="F5" s="10">
        <f>COUNTIF(Tasks!H2:H31,"Delayed")</f>
        <v>3</v>
      </c>
      <c r="H5" s="11">
        <f>D5/B5</f>
        <v>0.5</v>
      </c>
      <c r="K5" t="s">
        <v>18</v>
      </c>
      <c r="L5">
        <f>COUNTIF(Tasks!$H$2:$H$31,"Delayed")</f>
        <v>3</v>
      </c>
      <c r="O5" s="7" t="s">
        <v>51</v>
      </c>
      <c r="P5" s="5">
        <v>4</v>
      </c>
    </row>
    <row r="6" spans="1:16" ht="28.8" x14ac:dyDescent="0.3">
      <c r="O6" s="7" t="s">
        <v>61</v>
      </c>
      <c r="P6" s="5">
        <v>4</v>
      </c>
    </row>
    <row r="7" spans="1:16" ht="28.8" x14ac:dyDescent="0.3">
      <c r="O7" s="7" t="s">
        <v>59</v>
      </c>
      <c r="P7" s="5">
        <v>3</v>
      </c>
    </row>
    <row r="8" spans="1:16" ht="28.8" x14ac:dyDescent="0.3">
      <c r="O8" s="7" t="s">
        <v>62</v>
      </c>
      <c r="P8" s="5">
        <v>3</v>
      </c>
    </row>
    <row r="9" spans="1:16" ht="28.8" x14ac:dyDescent="0.3">
      <c r="O9" s="7" t="s">
        <v>48</v>
      </c>
      <c r="P9" s="5">
        <v>2</v>
      </c>
    </row>
    <row r="15" spans="1:16" x14ac:dyDescent="0.3">
      <c r="A15" s="4"/>
      <c r="B15" s="6"/>
    </row>
  </sheetData>
  <mergeCells count="1">
    <mergeCell ref="A1:H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Tasks</vt:lpstr>
      <vt:lpstr>Employees</vt:lpstr>
      <vt:lpstr>Projects</vt:lpstr>
      <vt:lpstr>Employee Workload</vt:lpstr>
      <vt:lpstr>Project Performance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Priyanshu Prajapati</cp:lastModifiedBy>
  <cp:lastPrinted>2026-08-12T12:24:41Z</cp:lastPrinted>
  <dcterms:created xsi:type="dcterms:W3CDTF">2026-08-10T14:39:48Z</dcterms:created>
  <dcterms:modified xsi:type="dcterms:W3CDTF">2026-08-15T09:06:38Z</dcterms:modified>
</cp:coreProperties>
</file>